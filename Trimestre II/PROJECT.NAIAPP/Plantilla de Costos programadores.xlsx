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4"/>
    <sheet state="visible" name="Equipos de computo" sheetId="2" r:id="rId5"/>
    <sheet state="visible" name="Servidores" sheetId="3" r:id="rId6"/>
  </sheets>
  <definedNames/>
  <calcPr/>
  <extLst>
    <ext uri="GoogleSheetsCustomDataVersion2">
      <go:sheetsCustomData xmlns:go="http://customooxmlschemas.google.com/" r:id="rId7" roundtripDataChecksum="tPIWh6ZXa4fUMQ9h1uWDpJsCimHJphR5xzXKzSreyTM="/>
    </ext>
  </extLst>
</workbook>
</file>

<file path=xl/sharedStrings.xml><?xml version="1.0" encoding="utf-8"?>
<sst xmlns="http://schemas.openxmlformats.org/spreadsheetml/2006/main" count="133" uniqueCount="105">
  <si>
    <t> Salario de programadores según experiencia en Colombia</t>
  </si>
  <si>
    <t>Factor</t>
  </si>
  <si>
    <t>Descripción</t>
  </si>
  <si>
    <t>Situación</t>
  </si>
  <si>
    <t>Tipo de contrato</t>
  </si>
  <si>
    <t>Nivel</t>
  </si>
  <si>
    <t>Experiencia</t>
  </si>
  <si>
    <t>Salario</t>
  </si>
  <si>
    <t>Valor hora</t>
  </si>
  <si>
    <t>Duración del proyecto</t>
  </si>
  <si>
    <t>Si el proyecto es temporal o permanente</t>
  </si>
  <si>
    <t>Equipo permanente</t>
  </si>
  <si>
    <t>Indefinido</t>
  </si>
  <si>
    <t>Junior</t>
  </si>
  <si>
    <t>0 - 2 años</t>
  </si>
  <si>
    <t>Presupuesto</t>
  </si>
  <si>
    <t>Dinero disponible</t>
  </si>
  <si>
    <t>Proyecto de 6 meses</t>
  </si>
  <si>
    <t>Término fijo</t>
  </si>
  <si>
    <t>Semi Senior</t>
  </si>
  <si>
    <t>2 - 5 años</t>
  </si>
  <si>
    <t>Tipo de trabajo</t>
  </si>
  <si>
    <t>Si es continuo o por proyecto</t>
  </si>
  <si>
    <t>Proyecto pequeño</t>
  </si>
  <si>
    <t>Prestación de servicios</t>
  </si>
  <si>
    <t>Senior</t>
  </si>
  <si>
    <t>5 - 10 años</t>
  </si>
  <si>
    <t>Nivel del programador</t>
  </si>
  <si>
    <t>Junior, Semi Senior o Senior</t>
  </si>
  <si>
    <t>Salario Minimo</t>
  </si>
  <si>
    <t xml:space="preserve">Junior </t>
  </si>
  <si>
    <t xml:space="preserve">Semi senior </t>
  </si>
  <si>
    <t xml:space="preserve">Senior </t>
  </si>
  <si>
    <t xml:space="preserve">SEGURIDAD SOCIAL </t>
  </si>
  <si>
    <t>PORCENTAJE</t>
  </si>
  <si>
    <t>TOTAL</t>
  </si>
  <si>
    <t>Salud</t>
  </si>
  <si>
    <t xml:space="preserve">Pension </t>
  </si>
  <si>
    <t>Arl</t>
  </si>
  <si>
    <t>PARAFISCALES</t>
  </si>
  <si>
    <t>Caja de compensacion</t>
  </si>
  <si>
    <t>Icbf</t>
  </si>
  <si>
    <t xml:space="preserve">Sena </t>
  </si>
  <si>
    <t>Vacaciones</t>
  </si>
  <si>
    <t>Prima</t>
  </si>
  <si>
    <t xml:space="preserve">Cesantias </t>
  </si>
  <si>
    <t>Intereses de cesantias</t>
  </si>
  <si>
    <t>CARGO</t>
  </si>
  <si>
    <t xml:space="preserve">FUNCION </t>
  </si>
  <si>
    <t>NIVEL</t>
  </si>
  <si>
    <t>EXPERIENCIA</t>
  </si>
  <si>
    <t xml:space="preserve">TIPO DE CONTRATO </t>
  </si>
  <si>
    <t xml:space="preserve">SALARIO </t>
  </si>
  <si>
    <t>ADICIONALES EMPRESA</t>
  </si>
  <si>
    <t xml:space="preserve">COSTO REAL EMPRESA </t>
  </si>
  <si>
    <t xml:space="preserve">VALOR HORA </t>
  </si>
  <si>
    <t>Frontend Developer</t>
  </si>
  <si>
    <t>Desarrolla la parte visual</t>
  </si>
  <si>
    <t>Backend Developer</t>
  </si>
  <si>
    <t>Desarrolla la logica del sistema</t>
  </si>
  <si>
    <t>3 - 5 años</t>
  </si>
  <si>
    <t>Full Stack Develope</t>
  </si>
  <si>
    <t>Desarrolla frontend y Backend</t>
  </si>
  <si>
    <t>QA Tester</t>
  </si>
  <si>
    <t>Realiza pruebas el software</t>
  </si>
  <si>
    <t>DevOps</t>
  </si>
  <si>
    <t>Administra servidores y despliegue</t>
  </si>
  <si>
    <t xml:space="preserve">Scrum master </t>
  </si>
  <si>
    <t xml:space="preserve">Organiza el trabajo del equipo </t>
  </si>
  <si>
    <t>Semi Senior o Senior</t>
  </si>
  <si>
    <t xml:space="preserve">Project Manager </t>
  </si>
  <si>
    <t>Dirige el proyecto</t>
  </si>
  <si>
    <t>Tipo de equipo</t>
  </si>
  <si>
    <t>Procesador</t>
  </si>
  <si>
    <t>RAM</t>
  </si>
  <si>
    <t>Almacenamiento</t>
  </si>
  <si>
    <t>Tarjeta de video</t>
  </si>
  <si>
    <t>Fuente</t>
  </si>
  <si>
    <t>ÁREA</t>
  </si>
  <si>
    <t>Sistema operativo</t>
  </si>
  <si>
    <t>Tipo de disco</t>
  </si>
  <si>
    <t>Portatil</t>
  </si>
  <si>
    <t>Intel Core Ultra 5</t>
  </si>
  <si>
    <t>16GB</t>
  </si>
  <si>
    <t>SSD 512 GB</t>
  </si>
  <si>
    <t>N/A</t>
  </si>
  <si>
    <t xml:space="preserve">desarrollador </t>
  </si>
  <si>
    <t>Windows/Linux</t>
  </si>
  <si>
    <t>ssd</t>
  </si>
  <si>
    <t>PC Servidor</t>
  </si>
  <si>
    <t>Intel Xeon o AMD EPYC</t>
  </si>
  <si>
    <t>64GB</t>
  </si>
  <si>
    <t>8TB</t>
  </si>
  <si>
    <t>chip gráfico básico integrado.</t>
  </si>
  <si>
    <t>(2 fuentes</t>
  </si>
  <si>
    <t>Servidores</t>
  </si>
  <si>
    <t>Linux</t>
  </si>
  <si>
    <t>hdd y ssd</t>
  </si>
  <si>
    <t>AMD Ryzen 5</t>
  </si>
  <si>
    <t xml:space="preserve"> 8 GB</t>
  </si>
  <si>
    <t>512GB</t>
  </si>
  <si>
    <t>Graficos integrados</t>
  </si>
  <si>
    <t>N/a</t>
  </si>
  <si>
    <t>Administrativo</t>
  </si>
  <si>
    <t>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</si>
</sst>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\ #,##0;[Red]\-&quot;$&quot;\ #,##0"/>
    <numFmt numFmtId="165" formatCode="_-&quot;$&quot;\ * #,##0_-;\-&quot;$&quot;\ * #,##0_-;_-&quot;$&quot;\ * &quot;-&quot;??_-;_-@"/>
    <numFmt numFmtId="166" formatCode="0.0%"/>
    <numFmt numFmtId="167" formatCode="_-&quot;$&quot;\ * #,##0.0_-;\-&quot;$&quot;\ * #,##0.0_-;_-&quot;$&quot;\ * &quot;-&quot;?_-;_-@"/>
    <numFmt numFmtId="168" formatCode="_-&quot;$&quot;\ * #,##0_-;\-&quot;$&quot;\ * #,##0_-;_-&quot;$&quot;\ * &quot;-&quot;?_-;_-@"/>
    <numFmt numFmtId="169" formatCode="_-&quot;$&quot;\ * #,##0.00_-;\-&quot;$&quot;\ * #,##0.00_-;_-&quot;$&quot;\ * &quot;-&quot;??_-;_-@"/>
  </numFmts>
  <fonts count="11">
    <font>
      <sz val="11.0"/>
      <color theme="1"/>
      <name val="Aptos Narrow"/>
      <scheme val="minor"/>
    </font>
    <font>
      <sz val="11.0"/>
      <color rgb="FF0D0D0D"/>
      <name val="Arial"/>
    </font>
    <font/>
    <font>
      <b/>
      <sz val="11.0"/>
      <color theme="1"/>
      <name val="Aptos Narrow"/>
    </font>
    <font>
      <sz val="12.0"/>
      <color rgb="FF0D0D0D"/>
      <name val="Quattrocento Sans"/>
    </font>
    <font>
      <sz val="11.0"/>
      <color theme="1"/>
      <name val="Aptos Narrow"/>
    </font>
    <font>
      <sz val="11.0"/>
      <color rgb="FF0D0D0D"/>
      <name val="Quattrocento Sans"/>
    </font>
    <font>
      <b/>
      <color theme="1"/>
      <name val="Arial"/>
    </font>
    <font>
      <b/>
      <sz val="11.0"/>
      <color rgb="FF000000"/>
      <name val="Calibri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  <xf borderId="9" fillId="0" fontId="6" numFmtId="164" xfId="0" applyBorder="1" applyFont="1" applyNumberFormat="1"/>
    <xf borderId="10" fillId="0" fontId="6" numFmtId="164" xfId="0" applyBorder="1" applyFont="1" applyNumberFormat="1"/>
    <xf borderId="0" fillId="0" fontId="6" numFmtId="164" xfId="0" applyFont="1" applyNumberFormat="1"/>
    <xf borderId="7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7" fillId="2" fontId="4" numFmtId="0" xfId="0" applyAlignment="1" applyBorder="1" applyFont="1">
      <alignment horizontal="left" shrinkToFit="0" vertical="top" wrapText="1"/>
    </xf>
    <xf borderId="8" fillId="2" fontId="4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left" vertical="top"/>
    </xf>
    <xf borderId="17" fillId="0" fontId="6" numFmtId="164" xfId="0" applyBorder="1" applyFont="1" applyNumberFormat="1"/>
    <xf borderId="15" fillId="0" fontId="6" numFmtId="164" xfId="0" applyBorder="1" applyFont="1" applyNumberFormat="1"/>
    <xf borderId="0" fillId="0" fontId="5" numFmtId="0" xfId="0" applyAlignment="1" applyFont="1">
      <alignment horizontal="left" vertical="top"/>
    </xf>
    <xf borderId="9" fillId="0" fontId="3" numFmtId="0" xfId="0" applyAlignment="1" applyBorder="1" applyFont="1">
      <alignment horizontal="center" vertical="top"/>
    </xf>
    <xf borderId="9" fillId="0" fontId="5" numFmtId="165" xfId="0" applyAlignment="1" applyBorder="1" applyFont="1" applyNumberFormat="1">
      <alignment horizontal="center" vertical="top"/>
    </xf>
    <xf borderId="9" fillId="0" fontId="5" numFmtId="0" xfId="0" applyBorder="1" applyFont="1"/>
    <xf borderId="9" fillId="0" fontId="3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vertical="top"/>
    </xf>
    <xf borderId="9" fillId="0" fontId="5" numFmtId="166" xfId="0" applyAlignment="1" applyBorder="1" applyFont="1" applyNumberFormat="1">
      <alignment horizontal="left" vertical="top"/>
    </xf>
    <xf borderId="9" fillId="0" fontId="5" numFmtId="167" xfId="0" applyBorder="1" applyFont="1" applyNumberFormat="1"/>
    <xf borderId="9" fillId="0" fontId="5" numFmtId="168" xfId="0" applyBorder="1" applyFont="1" applyNumberFormat="1"/>
    <xf borderId="9" fillId="0" fontId="5" numFmtId="9" xfId="0" applyAlignment="1" applyBorder="1" applyFont="1" applyNumberFormat="1">
      <alignment horizontal="left" vertical="top"/>
    </xf>
    <xf borderId="9" fillId="0" fontId="5" numFmtId="165" xfId="0" applyBorder="1" applyFont="1" applyNumberFormat="1"/>
    <xf borderId="9" fillId="0" fontId="5" numFmtId="10" xfId="0" applyAlignment="1" applyBorder="1" applyFont="1" applyNumberFormat="1">
      <alignment horizontal="left" vertical="top"/>
    </xf>
    <xf borderId="9" fillId="0" fontId="5" numFmtId="169" xfId="0" applyBorder="1" applyFont="1" applyNumberFormat="1"/>
    <xf borderId="0" fillId="0" fontId="5" numFmtId="167" xfId="0" applyFont="1" applyNumberFormat="1"/>
    <xf borderId="0" fillId="0" fontId="5" numFmtId="168" xfId="0" applyFont="1" applyNumberFormat="1"/>
    <xf borderId="0" fillId="0" fontId="5" numFmtId="164" xfId="0" applyAlignment="1" applyFont="1" applyNumberFormat="1">
      <alignment shrinkToFit="0" vertical="center" wrapText="1"/>
    </xf>
    <xf borderId="9" fillId="0" fontId="3" numFmtId="0" xfId="0" applyAlignment="1" applyBorder="1" applyFont="1">
      <alignment horizontal="center"/>
    </xf>
    <xf borderId="9" fillId="0" fontId="6" numFmtId="0" xfId="0" applyBorder="1" applyFont="1"/>
    <xf borderId="9" fillId="0" fontId="5" numFmtId="0" xfId="0" applyAlignment="1" applyBorder="1" applyFont="1">
      <alignment horizontal="left"/>
    </xf>
    <xf borderId="9" fillId="0" fontId="7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readingOrder="0" shrinkToFit="0" vertical="center" wrapText="0"/>
    </xf>
    <xf borderId="9" fillId="0" fontId="9" numFmtId="0" xfId="0" applyAlignment="1" applyBorder="1" applyFont="1">
      <alignment readingOrder="0"/>
    </xf>
    <xf borderId="9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33.13"/>
    <col customWidth="1" min="3" max="3" width="22.0"/>
    <col customWidth="1" min="4" max="4" width="17.25"/>
    <col customWidth="1" min="5" max="5" width="22.63"/>
    <col customWidth="1" min="6" max="6" width="17.88"/>
    <col customWidth="1" min="7" max="7" width="23.25"/>
    <col customWidth="1" min="8" max="8" width="23.0"/>
    <col customWidth="1" min="9" max="9" width="17.63"/>
    <col customWidth="1" min="10" max="10" width="23.25"/>
    <col customWidth="1" min="11" max="11" width="25.13"/>
    <col customWidth="1" min="12" max="12" width="14.75"/>
    <col customWidth="1" min="13" max="26" width="8.63"/>
  </cols>
  <sheetData>
    <row r="1" ht="27.75" customHeight="1">
      <c r="A1" s="1" t="s">
        <v>0</v>
      </c>
      <c r="B1" s="2"/>
      <c r="C1" s="2"/>
      <c r="D1" s="3"/>
      <c r="E1" s="4"/>
      <c r="F1" s="5" t="s">
        <v>1</v>
      </c>
      <c r="G1" s="6" t="s">
        <v>2</v>
      </c>
      <c r="H1" s="7"/>
      <c r="J1" s="5" t="s">
        <v>3</v>
      </c>
      <c r="K1" s="6" t="s">
        <v>4</v>
      </c>
    </row>
    <row r="2" ht="27.75" customHeight="1">
      <c r="A2" s="8" t="s">
        <v>5</v>
      </c>
      <c r="B2" s="9" t="s">
        <v>6</v>
      </c>
      <c r="C2" s="10" t="s">
        <v>7</v>
      </c>
      <c r="D2" s="11" t="s">
        <v>8</v>
      </c>
      <c r="E2" s="12"/>
      <c r="F2" s="13" t="s">
        <v>9</v>
      </c>
      <c r="G2" s="14" t="s">
        <v>10</v>
      </c>
      <c r="H2" s="15"/>
      <c r="J2" s="13" t="s">
        <v>11</v>
      </c>
      <c r="K2" s="14" t="s">
        <v>12</v>
      </c>
    </row>
    <row r="3" ht="27.75" customHeight="1">
      <c r="A3" s="16" t="s">
        <v>13</v>
      </c>
      <c r="B3" s="17" t="s">
        <v>14</v>
      </c>
      <c r="C3" s="18">
        <v>2500000.0</v>
      </c>
      <c r="D3" s="19">
        <v>13020.0</v>
      </c>
      <c r="E3" s="20"/>
      <c r="F3" s="21" t="s">
        <v>15</v>
      </c>
      <c r="G3" s="22" t="s">
        <v>16</v>
      </c>
      <c r="H3" s="15"/>
      <c r="J3" s="21" t="s">
        <v>17</v>
      </c>
      <c r="K3" s="22" t="s">
        <v>18</v>
      </c>
    </row>
    <row r="4" ht="27.75" customHeight="1">
      <c r="A4" s="23" t="s">
        <v>19</v>
      </c>
      <c r="B4" s="24" t="s">
        <v>20</v>
      </c>
      <c r="C4" s="18">
        <v>5000000.0</v>
      </c>
      <c r="D4" s="19">
        <v>26041.0</v>
      </c>
      <c r="E4" s="20"/>
      <c r="F4" s="21" t="s">
        <v>21</v>
      </c>
      <c r="G4" s="22" t="s">
        <v>22</v>
      </c>
      <c r="H4" s="15"/>
      <c r="J4" s="25" t="s">
        <v>23</v>
      </c>
      <c r="K4" s="26" t="s">
        <v>24</v>
      </c>
    </row>
    <row r="5" ht="27.75" customHeight="1">
      <c r="A5" s="27" t="s">
        <v>25</v>
      </c>
      <c r="B5" s="28" t="s">
        <v>26</v>
      </c>
      <c r="C5" s="29">
        <v>8500000.0</v>
      </c>
      <c r="D5" s="30">
        <v>44270.0</v>
      </c>
      <c r="E5" s="20"/>
      <c r="F5" s="25" t="s">
        <v>27</v>
      </c>
      <c r="G5" s="26" t="s">
        <v>28</v>
      </c>
      <c r="H5" s="15"/>
    </row>
    <row r="6">
      <c r="A6" s="31"/>
      <c r="B6" s="31"/>
    </row>
    <row r="7">
      <c r="A7" s="31"/>
      <c r="B7" s="31"/>
    </row>
    <row r="8">
      <c r="A8" s="32" t="s">
        <v>29</v>
      </c>
      <c r="B8" s="33">
        <v>1750905.0</v>
      </c>
      <c r="C8" s="34"/>
      <c r="E8" s="33">
        <v>2500000.0</v>
      </c>
      <c r="F8" s="34" t="s">
        <v>30</v>
      </c>
      <c r="H8" s="33">
        <v>5000000.0</v>
      </c>
      <c r="I8" s="34" t="s">
        <v>31</v>
      </c>
      <c r="K8" s="33">
        <v>8500000.0</v>
      </c>
      <c r="L8" s="34" t="s">
        <v>32</v>
      </c>
    </row>
    <row r="9">
      <c r="A9" s="35" t="s">
        <v>33</v>
      </c>
      <c r="B9" s="36" t="s">
        <v>34</v>
      </c>
      <c r="C9" s="36" t="s">
        <v>35</v>
      </c>
      <c r="E9" s="36" t="s">
        <v>34</v>
      </c>
      <c r="F9" s="36" t="s">
        <v>35</v>
      </c>
      <c r="H9" s="36" t="s">
        <v>34</v>
      </c>
      <c r="I9" s="36" t="s">
        <v>35</v>
      </c>
      <c r="K9" s="36" t="s">
        <v>34</v>
      </c>
      <c r="L9" s="36" t="s">
        <v>35</v>
      </c>
    </row>
    <row r="10">
      <c r="A10" s="37" t="s">
        <v>36</v>
      </c>
      <c r="B10" s="38">
        <v>0.085</v>
      </c>
      <c r="C10" s="39">
        <f>B8*B10</f>
        <v>148826.925</v>
      </c>
      <c r="E10" s="38">
        <v>0.085</v>
      </c>
      <c r="F10" s="40">
        <f>E8*E10</f>
        <v>212500</v>
      </c>
      <c r="H10" s="38">
        <v>0.085</v>
      </c>
      <c r="I10" s="40">
        <f>H8*H10</f>
        <v>425000</v>
      </c>
      <c r="K10" s="38">
        <v>0.085</v>
      </c>
      <c r="L10" s="40">
        <f>K8*K10</f>
        <v>722500</v>
      </c>
    </row>
    <row r="11">
      <c r="A11" s="37" t="s">
        <v>37</v>
      </c>
      <c r="B11" s="41">
        <v>0.12</v>
      </c>
      <c r="C11" s="42">
        <f>B8*B11</f>
        <v>210108.6</v>
      </c>
      <c r="E11" s="41">
        <v>0.12</v>
      </c>
      <c r="F11" s="40">
        <f>E8*E11</f>
        <v>300000</v>
      </c>
      <c r="H11" s="41">
        <v>0.12</v>
      </c>
      <c r="I11" s="40">
        <f>H8*H11</f>
        <v>600000</v>
      </c>
      <c r="K11" s="41">
        <v>0.12</v>
      </c>
      <c r="L11" s="40">
        <f>K8*K11</f>
        <v>1020000</v>
      </c>
    </row>
    <row r="12">
      <c r="A12" s="37" t="s">
        <v>38</v>
      </c>
      <c r="B12" s="43">
        <v>0.0052</v>
      </c>
      <c r="C12" s="44">
        <f>B8*B12</f>
        <v>9104.706</v>
      </c>
      <c r="E12" s="43">
        <v>0.0052</v>
      </c>
      <c r="F12" s="40">
        <f>E8*E12</f>
        <v>13000</v>
      </c>
      <c r="H12" s="43">
        <v>0.0052</v>
      </c>
      <c r="I12" s="40">
        <f>H8*H12</f>
        <v>26000</v>
      </c>
      <c r="K12" s="43">
        <v>0.0052</v>
      </c>
      <c r="L12" s="40">
        <f>K8*K12</f>
        <v>44200</v>
      </c>
    </row>
    <row r="13">
      <c r="A13" s="32" t="s">
        <v>39</v>
      </c>
      <c r="B13" s="37"/>
      <c r="C13" s="34"/>
      <c r="E13" s="37"/>
      <c r="F13" s="40"/>
      <c r="H13" s="37"/>
      <c r="I13" s="40"/>
      <c r="K13" s="37"/>
      <c r="L13" s="40"/>
    </row>
    <row r="14">
      <c r="A14" s="37" t="s">
        <v>40</v>
      </c>
      <c r="B14" s="41">
        <v>0.04</v>
      </c>
      <c r="C14" s="42">
        <f>B8*B14</f>
        <v>70036.2</v>
      </c>
      <c r="E14" s="41">
        <v>0.04</v>
      </c>
      <c r="F14" s="40">
        <f>E8*E14</f>
        <v>100000</v>
      </c>
      <c r="H14" s="41">
        <v>0.04</v>
      </c>
      <c r="I14" s="40">
        <f>H8*H14</f>
        <v>200000</v>
      </c>
      <c r="K14" s="41">
        <v>0.04</v>
      </c>
      <c r="L14" s="40">
        <f>K8*K14</f>
        <v>340000</v>
      </c>
    </row>
    <row r="15">
      <c r="A15" s="37" t="s">
        <v>41</v>
      </c>
      <c r="B15" s="41">
        <v>0.03</v>
      </c>
      <c r="C15" s="42">
        <f>B8*B15</f>
        <v>52527.15</v>
      </c>
      <c r="E15" s="41">
        <v>0.03</v>
      </c>
      <c r="F15" s="40">
        <f>E8*E15</f>
        <v>75000</v>
      </c>
      <c r="H15" s="41">
        <v>0.03</v>
      </c>
      <c r="I15" s="40">
        <f>H8*H15</f>
        <v>150000</v>
      </c>
      <c r="K15" s="41">
        <v>0.03</v>
      </c>
      <c r="L15" s="40">
        <f>K8*K15</f>
        <v>255000</v>
      </c>
    </row>
    <row r="16" ht="17.25" customHeight="1">
      <c r="A16" s="37" t="s">
        <v>42</v>
      </c>
      <c r="B16" s="41">
        <v>0.02</v>
      </c>
      <c r="C16" s="42">
        <f>B8*B16</f>
        <v>35018.1</v>
      </c>
      <c r="E16" s="41">
        <v>0.02</v>
      </c>
      <c r="F16" s="40">
        <f>E8*E16</f>
        <v>50000</v>
      </c>
      <c r="H16" s="41">
        <v>0.02</v>
      </c>
      <c r="I16" s="40">
        <f>H8*H16</f>
        <v>100000</v>
      </c>
      <c r="K16" s="41">
        <v>0.02</v>
      </c>
      <c r="L16" s="40">
        <f>K8*K16</f>
        <v>170000</v>
      </c>
    </row>
    <row r="17">
      <c r="A17" s="37" t="s">
        <v>43</v>
      </c>
      <c r="B17" s="41">
        <v>0.0417</v>
      </c>
      <c r="C17" s="40">
        <f>B8*B17</f>
        <v>73012.7385</v>
      </c>
      <c r="E17" s="41">
        <v>0.0417</v>
      </c>
      <c r="F17" s="40">
        <f>E8*E17</f>
        <v>104250</v>
      </c>
      <c r="H17" s="41">
        <v>0.0417</v>
      </c>
      <c r="I17" s="40">
        <f>H8*H17</f>
        <v>208500</v>
      </c>
      <c r="K17" s="41">
        <v>0.0417</v>
      </c>
      <c r="L17" s="40">
        <f>K8*K17</f>
        <v>354450</v>
      </c>
    </row>
    <row r="18">
      <c r="A18" s="37" t="s">
        <v>44</v>
      </c>
      <c r="B18" s="41">
        <v>0.0833</v>
      </c>
      <c r="C18" s="42">
        <f>B8*B18</f>
        <v>145850.3865</v>
      </c>
      <c r="E18" s="41">
        <v>0.0833</v>
      </c>
      <c r="F18" s="40">
        <f>E8*E18</f>
        <v>208250</v>
      </c>
      <c r="H18" s="41">
        <v>0.0833</v>
      </c>
      <c r="I18" s="40">
        <f>H8*H18</f>
        <v>416500</v>
      </c>
      <c r="K18" s="41">
        <v>0.0833</v>
      </c>
      <c r="L18" s="40">
        <f>K8*K18</f>
        <v>708050</v>
      </c>
    </row>
    <row r="19">
      <c r="A19" s="37" t="s">
        <v>45</v>
      </c>
      <c r="B19" s="41">
        <v>0.083</v>
      </c>
      <c r="C19" s="42">
        <f>B8*B19</f>
        <v>145325.115</v>
      </c>
      <c r="E19" s="41">
        <v>0.083</v>
      </c>
      <c r="F19" s="40">
        <f>E8*E19</f>
        <v>207500</v>
      </c>
      <c r="H19" s="41">
        <v>0.083</v>
      </c>
      <c r="I19" s="40">
        <f>H8*H19</f>
        <v>415000</v>
      </c>
      <c r="K19" s="41">
        <v>0.083</v>
      </c>
      <c r="L19" s="40">
        <f>K8*K19</f>
        <v>705500</v>
      </c>
    </row>
    <row r="20">
      <c r="A20" s="37" t="s">
        <v>46</v>
      </c>
      <c r="B20" s="41">
        <v>0.01</v>
      </c>
      <c r="C20" s="42">
        <f>B8*B20</f>
        <v>17509.05</v>
      </c>
      <c r="E20" s="41">
        <v>0.01</v>
      </c>
      <c r="F20" s="40">
        <f>E8*E20</f>
        <v>25000</v>
      </c>
      <c r="H20" s="41">
        <v>0.01</v>
      </c>
      <c r="I20" s="40">
        <f>H8*H20</f>
        <v>50000</v>
      </c>
      <c r="K20" s="41">
        <v>0.01</v>
      </c>
      <c r="L20" s="40">
        <f>K8*K20</f>
        <v>85000</v>
      </c>
    </row>
    <row r="21" ht="15.75" customHeight="1">
      <c r="A21" s="31"/>
      <c r="B21" s="31"/>
      <c r="C21" s="45">
        <f>SUM(C10:C20)</f>
        <v>907318.971</v>
      </c>
      <c r="E21" s="31"/>
      <c r="F21" s="46">
        <f>SUM(F10:F20)</f>
        <v>1295500</v>
      </c>
      <c r="H21" s="31"/>
      <c r="I21" s="46">
        <f>SUM(I10:I20)</f>
        <v>2591000</v>
      </c>
      <c r="K21" s="31"/>
      <c r="L21" s="46">
        <f>SUM(L10:L20)</f>
        <v>4404700</v>
      </c>
    </row>
    <row r="22" ht="15.75" customHeight="1">
      <c r="A22" s="31"/>
      <c r="B22" s="31"/>
      <c r="E22" s="15"/>
      <c r="F22" s="47"/>
    </row>
    <row r="23" ht="15.75" customHeight="1"/>
    <row r="24" ht="15.75" customHeight="1">
      <c r="A24" s="48" t="s">
        <v>47</v>
      </c>
      <c r="B24" s="48" t="s">
        <v>48</v>
      </c>
      <c r="C24" s="48" t="s">
        <v>49</v>
      </c>
      <c r="D24" s="48" t="s">
        <v>50</v>
      </c>
      <c r="E24" s="48" t="s">
        <v>51</v>
      </c>
      <c r="F24" s="48" t="s">
        <v>52</v>
      </c>
      <c r="G24" s="48" t="s">
        <v>53</v>
      </c>
      <c r="H24" s="48" t="s">
        <v>54</v>
      </c>
      <c r="I24" s="48" t="s">
        <v>55</v>
      </c>
    </row>
    <row r="25" ht="15.75" customHeight="1">
      <c r="A25" s="49" t="s">
        <v>56</v>
      </c>
      <c r="B25" s="50" t="s">
        <v>57</v>
      </c>
      <c r="C25" s="34" t="s">
        <v>30</v>
      </c>
      <c r="D25" s="34" t="s">
        <v>14</v>
      </c>
      <c r="E25" s="34" t="s">
        <v>12</v>
      </c>
      <c r="F25" s="42">
        <v>2500000.0</v>
      </c>
      <c r="G25" s="42">
        <v>1295500.0</v>
      </c>
      <c r="H25" s="42">
        <f t="shared" ref="H25:H31" si="1">F25+G25</f>
        <v>3795500</v>
      </c>
      <c r="I25" s="42">
        <f t="shared" ref="I25:I31" si="2">F25/48</f>
        <v>52083.33333</v>
      </c>
    </row>
    <row r="26" ht="15.75" customHeight="1">
      <c r="A26" s="49" t="s">
        <v>58</v>
      </c>
      <c r="B26" s="34" t="s">
        <v>59</v>
      </c>
      <c r="C26" s="34" t="s">
        <v>19</v>
      </c>
      <c r="D26" s="34" t="s">
        <v>60</v>
      </c>
      <c r="E26" s="34" t="s">
        <v>12</v>
      </c>
      <c r="F26" s="42">
        <v>5000000.0</v>
      </c>
      <c r="G26" s="42">
        <v>2591000.0</v>
      </c>
      <c r="H26" s="42">
        <f t="shared" si="1"/>
        <v>7591000</v>
      </c>
      <c r="I26" s="42">
        <f t="shared" si="2"/>
        <v>104166.6667</v>
      </c>
    </row>
    <row r="27" ht="15.75" customHeight="1">
      <c r="A27" s="49" t="s">
        <v>61</v>
      </c>
      <c r="B27" s="34" t="s">
        <v>62</v>
      </c>
      <c r="C27" s="34" t="s">
        <v>25</v>
      </c>
      <c r="D27" s="34" t="s">
        <v>26</v>
      </c>
      <c r="E27" s="34" t="s">
        <v>12</v>
      </c>
      <c r="F27" s="42">
        <v>8500000.0</v>
      </c>
      <c r="G27" s="42">
        <v>4404700.0</v>
      </c>
      <c r="H27" s="42">
        <f t="shared" si="1"/>
        <v>12904700</v>
      </c>
      <c r="I27" s="42">
        <f t="shared" si="2"/>
        <v>177083.3333</v>
      </c>
    </row>
    <row r="28" ht="15.75" customHeight="1">
      <c r="A28" s="49" t="s">
        <v>63</v>
      </c>
      <c r="B28" s="34" t="s">
        <v>64</v>
      </c>
      <c r="C28" s="34" t="s">
        <v>30</v>
      </c>
      <c r="D28" s="34" t="s">
        <v>14</v>
      </c>
      <c r="E28" s="34" t="s">
        <v>12</v>
      </c>
      <c r="F28" s="42">
        <v>2500000.0</v>
      </c>
      <c r="G28" s="42">
        <v>1295500.0</v>
      </c>
      <c r="H28" s="42">
        <f t="shared" si="1"/>
        <v>3795500</v>
      </c>
      <c r="I28" s="42">
        <f t="shared" si="2"/>
        <v>52083.33333</v>
      </c>
    </row>
    <row r="29" ht="15.75" customHeight="1">
      <c r="A29" s="49" t="s">
        <v>65</v>
      </c>
      <c r="B29" s="34" t="s">
        <v>66</v>
      </c>
      <c r="C29" s="34" t="s">
        <v>25</v>
      </c>
      <c r="D29" s="34" t="s">
        <v>26</v>
      </c>
      <c r="E29" s="34" t="s">
        <v>12</v>
      </c>
      <c r="F29" s="42">
        <v>8500000.0</v>
      </c>
      <c r="G29" s="42">
        <v>4404700.0</v>
      </c>
      <c r="H29" s="42">
        <f t="shared" si="1"/>
        <v>12904700</v>
      </c>
      <c r="I29" s="42">
        <f t="shared" si="2"/>
        <v>177083.3333</v>
      </c>
    </row>
    <row r="30" ht="15.75" customHeight="1">
      <c r="A30" s="49" t="s">
        <v>67</v>
      </c>
      <c r="B30" s="34" t="s">
        <v>68</v>
      </c>
      <c r="C30" s="34" t="s">
        <v>69</v>
      </c>
      <c r="D30" s="34" t="s">
        <v>60</v>
      </c>
      <c r="E30" s="34" t="s">
        <v>12</v>
      </c>
      <c r="F30" s="42">
        <v>5000000.0</v>
      </c>
      <c r="G30" s="42">
        <v>2591000.0</v>
      </c>
      <c r="H30" s="42">
        <f t="shared" si="1"/>
        <v>7591000</v>
      </c>
      <c r="I30" s="42">
        <f t="shared" si="2"/>
        <v>104166.6667</v>
      </c>
    </row>
    <row r="31" ht="15.75" customHeight="1">
      <c r="A31" s="49" t="s">
        <v>70</v>
      </c>
      <c r="B31" s="34" t="s">
        <v>71</v>
      </c>
      <c r="C31" s="34" t="s">
        <v>25</v>
      </c>
      <c r="D31" s="34" t="s">
        <v>26</v>
      </c>
      <c r="E31" s="34" t="s">
        <v>12</v>
      </c>
      <c r="F31" s="42">
        <v>8500000.0</v>
      </c>
      <c r="G31" s="42">
        <v>4404700.0</v>
      </c>
      <c r="H31" s="42">
        <f t="shared" si="1"/>
        <v>12904700</v>
      </c>
      <c r="I31" s="42">
        <f t="shared" si="2"/>
        <v>177083.3333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8.5"/>
    <col customWidth="1" min="3" max="3" width="7.38"/>
    <col customWidth="1" min="4" max="4" width="18.63"/>
    <col customWidth="1" min="5" max="5" width="30.0"/>
    <col customWidth="1" min="6" max="6" width="15.13"/>
    <col customWidth="1" min="7" max="7" width="13.88"/>
    <col customWidth="1" min="8" max="8" width="16.5"/>
  </cols>
  <sheetData>
    <row r="1" ht="22.5" customHeight="1">
      <c r="A1" s="51" t="s">
        <v>72</v>
      </c>
      <c r="B1" s="51" t="s">
        <v>73</v>
      </c>
      <c r="C1" s="51" t="s">
        <v>74</v>
      </c>
      <c r="D1" s="51" t="s">
        <v>75</v>
      </c>
      <c r="E1" s="51" t="s">
        <v>76</v>
      </c>
      <c r="F1" s="51" t="s">
        <v>77</v>
      </c>
      <c r="G1" s="52" t="s">
        <v>78</v>
      </c>
      <c r="H1" s="52" t="s">
        <v>79</v>
      </c>
      <c r="I1" s="51" t="s">
        <v>80</v>
      </c>
    </row>
    <row r="2">
      <c r="A2" s="53" t="s">
        <v>81</v>
      </c>
      <c r="B2" s="53" t="s">
        <v>82</v>
      </c>
      <c r="C2" s="53" t="s">
        <v>83</v>
      </c>
      <c r="D2" s="53" t="s">
        <v>84</v>
      </c>
      <c r="E2" s="53" t="s">
        <v>85</v>
      </c>
      <c r="F2" s="53" t="s">
        <v>85</v>
      </c>
      <c r="G2" s="53" t="s">
        <v>86</v>
      </c>
      <c r="H2" s="53" t="s">
        <v>87</v>
      </c>
      <c r="I2" s="53" t="s">
        <v>88</v>
      </c>
    </row>
    <row r="3">
      <c r="A3" s="53" t="s">
        <v>89</v>
      </c>
      <c r="B3" s="54" t="s">
        <v>90</v>
      </c>
      <c r="C3" s="53" t="s">
        <v>91</v>
      </c>
      <c r="D3" s="53" t="s">
        <v>92</v>
      </c>
      <c r="E3" s="54" t="s">
        <v>93</v>
      </c>
      <c r="F3" s="54" t="s">
        <v>94</v>
      </c>
      <c r="G3" s="53" t="s">
        <v>95</v>
      </c>
      <c r="H3" s="53" t="s">
        <v>96</v>
      </c>
      <c r="I3" s="53" t="s">
        <v>97</v>
      </c>
    </row>
    <row r="4">
      <c r="A4" s="53" t="s">
        <v>81</v>
      </c>
      <c r="B4" s="54" t="s">
        <v>98</v>
      </c>
      <c r="C4" s="53" t="s">
        <v>99</v>
      </c>
      <c r="D4" s="53" t="s">
        <v>100</v>
      </c>
      <c r="E4" s="53" t="s">
        <v>101</v>
      </c>
      <c r="F4" s="53" t="s">
        <v>102</v>
      </c>
      <c r="G4" s="54" t="s">
        <v>103</v>
      </c>
      <c r="H4" s="53" t="s">
        <v>104</v>
      </c>
      <c r="I4" s="53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2026-03-16T20:37:57Z</dcterms:created>
  <dc:creator>SENA</dc:creator>
</cp:coreProperties>
</file>